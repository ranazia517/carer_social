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Funding &amp; Revenue" sheetId="3" state="visible" r:id="rId3"/>
    <sheet xmlns:r="http://schemas.openxmlformats.org/officeDocument/2006/relationships" name="Cash Summary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6">
    <font>
      <name val="Calibri"/>
      <family val="2"/>
      <color theme="1"/>
      <sz val="11"/>
      <scheme val="minor"/>
    </font>
    <font>
      <name val="Calibri"/>
      <b val="1"/>
      <i val="1"/>
      <color rgb="008B2500"/>
      <sz val="10"/>
    </font>
    <font>
      <name val="Calibri"/>
      <b val="1"/>
      <color rgb="00FAF2E8"/>
      <sz val="10"/>
    </font>
    <font>
      <name val="Calibri"/>
      <color rgb="004A3528"/>
      <sz val="10"/>
    </font>
    <font>
      <name val="Calibri"/>
      <i val="1"/>
      <color rgb="007A6055"/>
      <sz val="9"/>
    </font>
    <font>
      <name val="Calibri"/>
      <b val="1"/>
      <color rgb="004A3528"/>
      <sz val="10"/>
    </font>
  </fonts>
  <fills count="10">
    <fill>
      <patternFill/>
    </fill>
    <fill>
      <patternFill patternType="gray125"/>
    </fill>
    <fill>
      <patternFill patternType="solid">
        <fgColor rgb="00FFF6E6"/>
      </patternFill>
    </fill>
    <fill>
      <patternFill patternType="solid">
        <fgColor rgb="00A8663C"/>
      </patternFill>
    </fill>
    <fill>
      <patternFill patternType="solid">
        <fgColor rgb="00FFFCE8"/>
      </patternFill>
    </fill>
    <fill>
      <patternFill patternType="solid">
        <fgColor rgb="00F9F0E6"/>
      </patternFill>
    </fill>
    <fill>
      <patternFill patternType="solid">
        <fgColor rgb="00E0D0C4"/>
      </patternFill>
    </fill>
    <fill>
      <patternFill patternType="solid">
        <fgColor rgb="00D4C5B8"/>
      </patternFill>
    </fill>
    <fill>
      <patternFill patternType="solid">
        <fgColor rgb="00EFE0D0"/>
      </patternFill>
    </fill>
    <fill>
      <patternFill patternType="solid">
        <fgColor rgb="00C8DBD2"/>
      </patternFill>
    </fill>
  </fills>
  <borders count="2">
    <border>
      <left/>
      <right/>
      <top/>
      <bottom/>
      <diagonal/>
    </border>
    <border>
      <left style="thin">
        <color rgb="00C89070"/>
      </left>
      <right style="thin">
        <color rgb="00C89070"/>
      </right>
      <top style="thin">
        <color rgb="00C89070"/>
      </top>
      <bottom style="thin">
        <color rgb="00C8907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3" fillId="5" borderId="1" pivotButton="0" quotePrefix="0" xfId="0"/>
    <xf numFmtId="164" fontId="3" fillId="5" borderId="1" applyAlignment="1" pivotButton="0" quotePrefix="0" xfId="0">
      <alignment horizontal="right" vertical="center"/>
    </xf>
    <xf numFmtId="0" fontId="5" fillId="6" borderId="1" pivotButton="0" quotePrefix="0" xfId="0"/>
    <xf numFmtId="164" fontId="5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ILLUSTRATIVE — owner to finalise</t>
        </is>
      </c>
    </row>
    <row r="2" ht="28" customHeight="1">
      <c r="A2" s="2" t="inlineStr">
        <is>
          <t>Driver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</row>
    <row r="3" ht="18" customHeight="1">
      <c r="A3" s="3" t="inlineStr">
        <is>
          <t>Team FTE</t>
        </is>
      </c>
      <c r="B3" s="4" t="n">
        <v>4</v>
      </c>
      <c r="C3" s="4" t="n">
        <v>6</v>
      </c>
      <c r="D3" s="4" t="n">
        <v>9</v>
      </c>
    </row>
    <row r="4" ht="18" customHeight="1">
      <c r="A4" s="5" t="inlineStr">
        <is>
          <t>Blended cost / FTE (£)</t>
        </is>
      </c>
      <c r="B4" s="6" t="n">
        <v>70000</v>
      </c>
      <c r="C4" s="6" t="n">
        <v>72000</v>
      </c>
      <c r="D4" s="6" t="n">
        <v>74000</v>
      </c>
    </row>
    <row r="5" ht="18" customHeight="1">
      <c r="A5" s="3" t="inlineStr">
        <is>
          <t>Infrastructure — on-device (low marginal cost)</t>
        </is>
      </c>
      <c r="B5" s="6" t="n">
        <v>12000</v>
      </c>
      <c r="C5" s="6" t="n">
        <v>24000</v>
      </c>
      <c r="D5" s="6" t="n">
        <v>48000</v>
      </c>
    </row>
    <row r="6" ht="18" customHeight="1">
      <c r="A6" s="5" t="inlineStr">
        <is>
          <t>Compliance / legal / audit (DCB0129, DPO, ICO, security)</t>
        </is>
      </c>
      <c r="B6" s="6" t="n">
        <v>40000</v>
      </c>
      <c r="C6" s="6" t="n">
        <v>45000</v>
      </c>
      <c r="D6" s="6" t="n">
        <v>50000</v>
      </c>
    </row>
    <row r="7" ht="18" customHeight="1">
      <c r="A7" s="3" t="inlineStr">
        <is>
          <t>Evidence / PPIE / research study</t>
        </is>
      </c>
      <c r="B7" s="6" t="n">
        <v>15000</v>
      </c>
      <c r="C7" s="6" t="n">
        <v>60000</v>
      </c>
      <c r="D7" s="6" t="n">
        <v>40000</v>
      </c>
    </row>
    <row r="8" ht="18" customHeight="1">
      <c r="A8" s="5" t="inlineStr">
        <is>
          <t>GTM / partnerships / marketing</t>
        </is>
      </c>
      <c r="B8" s="6" t="n">
        <v>20000</v>
      </c>
      <c r="C8" s="6" t="n">
        <v>50000</v>
      </c>
      <c r="D8" s="6" t="n">
        <v>90000</v>
      </c>
    </row>
    <row r="9" ht="18" customHeight="1">
      <c r="A9" s="3" t="inlineStr">
        <is>
          <t>Product / design / tooling / misc</t>
        </is>
      </c>
      <c r="B9" s="6" t="n">
        <v>15000</v>
      </c>
      <c r="C9" s="6" t="n">
        <v>20000</v>
      </c>
      <c r="D9" s="6" t="n">
        <v>25000</v>
      </c>
    </row>
    <row r="10" ht="18" customHeight="1">
      <c r="A10" s="5" t="inlineStr">
        <is>
          <t>Partnership seats (carers covered)</t>
        </is>
      </c>
      <c r="B10" s="4" t="n">
        <v>0</v>
      </c>
      <c r="C10" s="4" t="n">
        <v>1500</v>
      </c>
      <c r="D10" s="4" t="n">
        <v>9000</v>
      </c>
    </row>
    <row r="11" ht="18" customHeight="1">
      <c r="A11" s="3" t="inlineStr">
        <is>
          <t>Partnership price / carer / month (£)</t>
        </is>
      </c>
      <c r="B11" s="7" t="n">
        <v>3</v>
      </c>
      <c r="C11" s="7" t="n">
        <v>3</v>
      </c>
      <c r="D11" s="7" t="n">
        <v>3</v>
      </c>
    </row>
    <row r="12" ht="18" customHeight="1">
      <c r="A12" s="5" t="inlineStr">
        <is>
          <t>Supporter donations (£)</t>
        </is>
      </c>
      <c r="B12" s="6" t="n">
        <v>2000</v>
      </c>
      <c r="C12" s="6" t="n">
        <v>10000</v>
      </c>
      <c r="D12" s="6" t="n">
        <v>25000</v>
      </c>
    </row>
    <row r="13" ht="16" customHeight="1">
      <c r="A13" s="8" t="inlineStr">
        <is>
          <t>Edit the highlighted (yellow) cells — all downstream sheets recompute automatically.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ILLUSTRATIVE — owner to finalise</t>
        </is>
      </c>
    </row>
    <row r="2" ht="28" customHeight="1">
      <c r="A2" s="2" t="inlineStr">
        <is>
          <t>Cost line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3-yr Total</t>
        </is>
      </c>
    </row>
    <row r="3" ht="18" customHeight="1">
      <c r="A3" s="9" t="inlineStr">
        <is>
          <t>People  (FTE × blended cost / FTE)</t>
        </is>
      </c>
      <c r="B3" s="10">
        <f>'Assumptions'!B3*'Assumptions'!B4</f>
        <v/>
      </c>
      <c r="C3" s="10">
        <f>'Assumptions'!C3*'Assumptions'!C4</f>
        <v/>
      </c>
      <c r="D3" s="10">
        <f>'Assumptions'!D3*'Assumptions'!D4</f>
        <v/>
      </c>
      <c r="E3" s="10">
        <f>B3+C3+D3</f>
        <v/>
      </c>
    </row>
    <row r="4" ht="18" customHeight="1">
      <c r="A4" s="11" t="inlineStr">
        <is>
          <t>Infrastructure  (on-device → low marginal cost)</t>
        </is>
      </c>
      <c r="B4" s="12">
        <f>'Assumptions'!B5</f>
        <v/>
      </c>
      <c r="C4" s="12">
        <f>'Assumptions'!C5</f>
        <v/>
      </c>
      <c r="D4" s="12">
        <f>'Assumptions'!D5</f>
        <v/>
      </c>
      <c r="E4" s="12">
        <f>B4+C4+D4</f>
        <v/>
      </c>
    </row>
    <row r="5" ht="18" customHeight="1">
      <c r="A5" s="9" t="inlineStr">
        <is>
          <t>Compliance / legal / audit  (DCB0129, DPO, ICO, security)</t>
        </is>
      </c>
      <c r="B5" s="10">
        <f>'Assumptions'!B6</f>
        <v/>
      </c>
      <c r="C5" s="10">
        <f>'Assumptions'!C6</f>
        <v/>
      </c>
      <c r="D5" s="10">
        <f>'Assumptions'!D6</f>
        <v/>
      </c>
      <c r="E5" s="10">
        <f>B5+C5+D5</f>
        <v/>
      </c>
    </row>
    <row r="6" ht="18" customHeight="1">
      <c r="A6" s="11" t="inlineStr">
        <is>
          <t>Evidence / PPIE / research study</t>
        </is>
      </c>
      <c r="B6" s="12">
        <f>'Assumptions'!B7</f>
        <v/>
      </c>
      <c r="C6" s="12">
        <f>'Assumptions'!C7</f>
        <v/>
      </c>
      <c r="D6" s="12">
        <f>'Assumptions'!D7</f>
        <v/>
      </c>
      <c r="E6" s="12">
        <f>B6+C6+D6</f>
        <v/>
      </c>
    </row>
    <row r="7" ht="18" customHeight="1">
      <c r="A7" s="9" t="inlineStr">
        <is>
          <t>GTM / partnerships / marketing</t>
        </is>
      </c>
      <c r="B7" s="10">
        <f>'Assumptions'!B8</f>
        <v/>
      </c>
      <c r="C7" s="10">
        <f>'Assumptions'!C8</f>
        <v/>
      </c>
      <c r="D7" s="10">
        <f>'Assumptions'!D8</f>
        <v/>
      </c>
      <c r="E7" s="10">
        <f>B7+C7+D7</f>
        <v/>
      </c>
    </row>
    <row r="8" ht="18" customHeight="1">
      <c r="A8" s="11" t="inlineStr">
        <is>
          <t>Product / design / tooling / misc</t>
        </is>
      </c>
      <c r="B8" s="12">
        <f>'Assumptions'!B9</f>
        <v/>
      </c>
      <c r="C8" s="12">
        <f>'Assumptions'!C9</f>
        <v/>
      </c>
      <c r="D8" s="12">
        <f>'Assumptions'!D9</f>
        <v/>
      </c>
      <c r="E8" s="12">
        <f>B8+C8+D8</f>
        <v/>
      </c>
    </row>
    <row r="9" ht="20" customHeight="1">
      <c r="A9" s="13" t="inlineStr">
        <is>
          <t>Total cost</t>
        </is>
      </c>
      <c r="B9" s="14">
        <f>SUM(B3:B8)</f>
        <v/>
      </c>
      <c r="C9" s="14">
        <f>SUM(C3:C8)</f>
        <v/>
      </c>
      <c r="D9" s="14">
        <f>SUM(D3:D8)</f>
        <v/>
      </c>
      <c r="E9" s="14">
        <f>B9+C9+D9</f>
        <v/>
      </c>
    </row>
    <row r="10" ht="16" customHeight="1">
      <c r="A10" s="8" t="inlineStr">
        <is>
          <t>Illustrative: Y1≈£382k · Y2≈£631k · Y3≈£919k · 3-yr≈£1.93m  (recomputes from Assumptions)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44" customWidth="1" min="6" max="6"/>
  </cols>
  <sheetData>
    <row r="1">
      <c r="A1" s="1" t="inlineStr">
        <is>
          <t>ILLUSTRATIVE — owner to finalise</t>
        </is>
      </c>
    </row>
    <row r="2" ht="28" customHeight="1">
      <c r="A2" s="2" t="inlineStr">
        <is>
          <t>Source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3-yr Total</t>
        </is>
      </c>
      <c r="F2" s="2" t="inlineStr">
        <is>
          <t>Note</t>
        </is>
      </c>
    </row>
    <row r="3" ht="18" customHeight="1">
      <c r="A3" s="9" t="inlineStr">
        <is>
          <t>Grants  (non-dilutive)</t>
        </is>
      </c>
      <c r="B3" s="10" t="n">
        <v>200000</v>
      </c>
      <c r="C3" s="10" t="n">
        <v>350000</v>
      </c>
      <c r="D3" s="10" t="n">
        <v>100000</v>
      </c>
      <c r="E3" s="10">
        <f>B3+C3+D3</f>
        <v/>
      </c>
      <c r="F3" s="9" t="inlineStr">
        <is>
          <t>SBRI Healthcare ≤£200k · NIHR Innovation Catalyst £150k · Innovate UK £200k</t>
        </is>
      </c>
    </row>
    <row r="4" ht="18" customHeight="1">
      <c r="A4" s="11" t="inlineStr">
        <is>
          <t>Mission seed capital</t>
        </is>
      </c>
      <c r="B4" s="12" t="n">
        <v>400000</v>
      </c>
      <c r="C4" s="12" t="n">
        <v>400000</v>
      </c>
      <c r="D4" s="12" t="n">
        <v>0</v>
      </c>
      <c r="E4" s="12">
        <f>B4+C4+D4</f>
        <v/>
      </c>
      <c r="F4" s="11" t="inlineStr">
        <is>
          <t>Patient / mission investor(s)  [owner-set]</t>
        </is>
      </c>
    </row>
    <row r="5" ht="18" customHeight="1">
      <c r="A5" s="9" t="inlineStr">
        <is>
          <t>B2B2C partnership revenue</t>
        </is>
      </c>
      <c r="B5" s="10">
        <f>'Assumptions'!B10*'Assumptions'!B11*12</f>
        <v/>
      </c>
      <c r="C5" s="10">
        <f>'Assumptions'!C10*'Assumptions'!C11*12</f>
        <v/>
      </c>
      <c r="D5" s="10">
        <f>'Assumptions'!D10*'Assumptions'!D11*12</f>
        <v/>
      </c>
      <c r="E5" s="10">
        <f>B5+C5+D5</f>
        <v/>
      </c>
      <c r="F5" s="9" t="inlineStr">
        <is>
          <t>Seats × price/mo × 12  (Y2: 1,500×£3 · Y3: 9,000×£3)</t>
        </is>
      </c>
    </row>
    <row r="6" ht="18" customHeight="1">
      <c r="A6" s="11" t="inlineStr">
        <is>
          <t>Optional supporter donations</t>
        </is>
      </c>
      <c r="B6" s="12">
        <f>'Assumptions'!B12</f>
        <v/>
      </c>
      <c r="C6" s="12">
        <f>'Assumptions'!C12</f>
        <v/>
      </c>
      <c r="D6" s="12">
        <f>'Assumptions'!D12</f>
        <v/>
      </c>
      <c r="E6" s="12">
        <f>B6+C6+D6</f>
        <v/>
      </c>
      <c r="F6" s="11" t="inlineStr">
        <is>
          <t>"Keep the light on" voluntary — never a paywall</t>
        </is>
      </c>
    </row>
    <row r="7" ht="20" customHeight="1">
      <c r="A7" s="13" t="inlineStr">
        <is>
          <t>Total inflow</t>
        </is>
      </c>
      <c r="B7" s="14">
        <f>SUM(B3:B6)</f>
        <v/>
      </c>
      <c r="C7" s="14">
        <f>SUM(C3:C6)</f>
        <v/>
      </c>
      <c r="D7" s="14">
        <f>SUM(D3:D6)</f>
        <v/>
      </c>
      <c r="E7" s="14">
        <f>B7+C7+D7</f>
        <v/>
      </c>
      <c r="F7" s="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44" customWidth="1" min="5" max="5"/>
  </cols>
  <sheetData>
    <row r="1">
      <c r="A1" s="1" t="inlineStr">
        <is>
          <t>ILLUSTRATIVE — owner to finalise</t>
        </is>
      </c>
    </row>
    <row r="2" ht="28" customHeight="1">
      <c r="A2" s="2" t="inlineStr"/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Notes</t>
        </is>
      </c>
    </row>
    <row r="3" ht="20" customHeight="1">
      <c r="A3" s="9" t="inlineStr">
        <is>
          <t>Total inflow</t>
        </is>
      </c>
      <c r="B3" s="10">
        <f>'Funding &amp; Revenue'!B7</f>
        <v/>
      </c>
      <c r="C3" s="10">
        <f>'Funding &amp; Revenue'!C7</f>
        <v/>
      </c>
      <c r="D3" s="10">
        <f>'Funding &amp; Revenue'!D7</f>
        <v/>
      </c>
      <c r="E3" s="9" t="inlineStr">
        <is>
          <t>From Funding &amp; Revenue</t>
        </is>
      </c>
    </row>
    <row r="4" ht="20" customHeight="1">
      <c r="A4" s="11" t="inlineStr">
        <is>
          <t>Total cost</t>
        </is>
      </c>
      <c r="B4" s="12">
        <f>'Costs'!B9</f>
        <v/>
      </c>
      <c r="C4" s="12">
        <f>'Costs'!C9</f>
        <v/>
      </c>
      <c r="D4" s="12">
        <f>'Costs'!D9</f>
        <v/>
      </c>
      <c r="E4" s="11" t="inlineStr">
        <is>
          <t>From Costs</t>
        </is>
      </c>
    </row>
    <row r="5" ht="20" customHeight="1">
      <c r="A5" s="9" t="inlineStr">
        <is>
          <t>Net cash  (inflow − cost)</t>
        </is>
      </c>
      <c r="B5" s="10">
        <f>B3-B4</f>
        <v/>
      </c>
      <c r="C5" s="10">
        <f>C3-C4</f>
        <v/>
      </c>
      <c r="D5" s="10">
        <f>D3-D4</f>
        <v/>
      </c>
      <c r="E5" s="9" t="inlineStr">
        <is>
          <t>Positive = surplus · negative = gap requiring bridge capital</t>
        </is>
      </c>
    </row>
    <row r="6" ht="20" customHeight="1">
      <c r="A6" s="11" t="inlineStr">
        <is>
          <t>Cumulative cash</t>
        </is>
      </c>
      <c r="B6" s="12">
        <f>B5</f>
        <v/>
      </c>
      <c r="C6" s="12">
        <f>C5+B6</f>
        <v/>
      </c>
      <c r="D6" s="12">
        <f>D5+C6</f>
        <v/>
      </c>
      <c r="E6" s="11" t="inlineStr">
        <is>
          <t>Rolling sum — shows when gap capital is needed</t>
        </is>
      </c>
    </row>
    <row r="7" ht="20" customHeight="1">
      <c r="A7" s="9" t="inlineStr">
        <is>
          <t>Monthly burn  (cost ÷ 12)</t>
        </is>
      </c>
      <c r="B7" s="10">
        <f>B4/12</f>
        <v/>
      </c>
      <c r="C7" s="10">
        <f>C4/12</f>
        <v/>
      </c>
      <c r="D7" s="10">
        <f>D4/12</f>
        <v/>
      </c>
      <c r="E7" s="9" t="inlineStr">
        <is>
          <t>People + compliance dominated · on-device removes per-user cost</t>
        </is>
      </c>
    </row>
    <row r="8" ht="8" customHeight="1"/>
    <row r="9" ht="22" customHeight="1">
      <c r="A9" s="15" t="inlineStr">
        <is>
          <t>Funding-need analysis — 24-month bridge</t>
        </is>
      </c>
    </row>
    <row r="10" ht="18" customHeight="1">
      <c r="A10" s="9" t="inlineStr">
        <is>
          <t>24-month gross cost  (Y1 + Y2)</t>
        </is>
      </c>
      <c r="B10" s="10">
        <f>'Costs'!B9+'Costs'!C9</f>
        <v/>
      </c>
      <c r="C10" s="9" t="inlineStr"/>
      <c r="D10" s="9" t="inlineStr"/>
      <c r="E10" s="9" t="inlineStr">
        <is>
          <t>~£1.01m illustrative</t>
        </is>
      </c>
    </row>
    <row r="11" ht="18" customHeight="1">
      <c r="A11" s="11" t="inlineStr">
        <is>
          <t>Grant coverage  (Y1+Y2 grants only)</t>
        </is>
      </c>
      <c r="B11" s="12">
        <f>200000+350000</f>
        <v/>
      </c>
      <c r="C11" s="11" t="inlineStr"/>
      <c r="D11" s="11" t="inlineStr"/>
      <c r="E11" s="11" t="inlineStr">
        <is>
          <t>~£550k  (SBRI + NIHR + Innovate UK combined)</t>
        </is>
      </c>
    </row>
    <row r="12" ht="18" customHeight="1">
      <c r="A12" s="9" t="inlineStr">
        <is>
          <t>Mission-seed bridge needed</t>
        </is>
      </c>
      <c r="B12" s="10">
        <f>B10-B11</f>
        <v/>
      </c>
      <c r="C12" s="9" t="inlineStr"/>
      <c r="D12" s="9" t="inlineStr"/>
      <c r="E12" s="9" t="inlineStr">
        <is>
          <t>~£460k gap → blended ask ~£0.75m–£1.2m incl. buffer</t>
        </is>
      </c>
    </row>
    <row r="13" ht="18" customHeight="1">
      <c r="A13" s="11" t="inlineStr">
        <is>
          <t>Runway to first partnership revenue</t>
        </is>
      </c>
      <c r="B13" s="12" t="inlineStr">
        <is>
          <t>~18–24 months</t>
        </is>
      </c>
      <c r="C13" s="11" t="inlineStr"/>
      <c r="D13" s="11" t="inlineStr"/>
      <c r="E13" s="11" t="inlineStr">
        <is>
          <t>Key milestone: first B2B2C contract within the window</t>
        </is>
      </c>
    </row>
    <row r="14" ht="32" customHeight="1">
      <c r="A14" s="8" t="inlineStr">
        <is>
          <t>Y3 net is negative (~−£470k illustrative): team scale-up precedes partnership-revenue ramp. This is where B2B2C revenue must accelerate, or a Series-seed / major grant tops up. See Scenarios sheet for Conservative / Stretch alternatives.</t>
        </is>
      </c>
    </row>
  </sheetData>
  <mergeCells count="3">
    <mergeCell ref="A1:E1"/>
    <mergeCell ref="A9:E9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0" max="10"/>
  </cols>
  <sheetData>
    <row r="1">
      <c r="A1" s="1" t="inlineStr">
        <is>
          <t>ILLUSTRATIVE — owner to finalise</t>
        </is>
      </c>
    </row>
    <row r="2" ht="10" customHeight="1"/>
    <row r="3" ht="26" customHeight="1">
      <c r="B3" s="16" t="inlineStr">
        <is>
          <t>BASE  (plan as modelled)</t>
        </is>
      </c>
      <c r="E3" s="17" t="inlineStr">
        <is>
          <t>CONSERVATIVE  (partnership slips)</t>
        </is>
      </c>
      <c r="H3" s="18" t="inlineStr">
        <is>
          <t>STRETCH  (accelerated ramp)</t>
        </is>
      </c>
    </row>
    <row r="4" ht="22" customHeight="1">
      <c r="A4" s="2" t="inlineStr">
        <is>
          <t>Line</t>
        </is>
      </c>
      <c r="B4" s="2" t="inlineStr">
        <is>
          <t>Y1</t>
        </is>
      </c>
      <c r="C4" s="2" t="inlineStr">
        <is>
          <t>Y2</t>
        </is>
      </c>
      <c r="D4" s="2" t="inlineStr">
        <is>
          <t>Y3</t>
        </is>
      </c>
      <c r="E4" s="2" t="inlineStr">
        <is>
          <t>Y1</t>
        </is>
      </c>
      <c r="F4" s="2" t="inlineStr">
        <is>
          <t>Y2</t>
        </is>
      </c>
      <c r="G4" s="2" t="inlineStr">
        <is>
          <t>Y3</t>
        </is>
      </c>
      <c r="H4" s="2" t="inlineStr">
        <is>
          <t>Y1</t>
        </is>
      </c>
      <c r="I4" s="2" t="inlineStr">
        <is>
          <t>Y2</t>
        </is>
      </c>
      <c r="J4" s="2" t="inlineStr">
        <is>
          <t>Y3</t>
        </is>
      </c>
    </row>
    <row r="5" ht="18" customHeight="1">
      <c r="A5" s="9" t="inlineStr">
        <is>
          <t>Total inflow (£)</t>
        </is>
      </c>
      <c r="B5" s="10" t="n">
        <v>602000</v>
      </c>
      <c r="C5" s="10" t="n">
        <v>814000</v>
      </c>
      <c r="D5" s="10" t="n">
        <v>449000</v>
      </c>
      <c r="E5" s="10" t="n">
        <v>602000</v>
      </c>
      <c r="F5" s="10" t="n">
        <v>614000</v>
      </c>
      <c r="G5" s="10" t="n">
        <v>349000</v>
      </c>
      <c r="H5" s="10" t="n">
        <v>602000</v>
      </c>
      <c r="I5" s="10" t="n">
        <v>914000</v>
      </c>
      <c r="J5" t="n">
        <v>649000</v>
      </c>
    </row>
    <row r="6" ht="18" customHeight="1">
      <c r="A6" s="11" t="inlineStr">
        <is>
          <t>Total cost (£)</t>
        </is>
      </c>
      <c r="B6" s="12" t="n">
        <v>382000</v>
      </c>
      <c r="C6" s="12" t="n">
        <v>631000</v>
      </c>
      <c r="D6" s="12" t="n">
        <v>919000</v>
      </c>
      <c r="E6" s="12" t="n">
        <v>382000</v>
      </c>
      <c r="F6" s="12" t="n">
        <v>631000</v>
      </c>
      <c r="G6" s="12" t="n">
        <v>919000</v>
      </c>
      <c r="H6" s="12" t="n">
        <v>382000</v>
      </c>
      <c r="I6" s="12" t="n">
        <v>631000</v>
      </c>
      <c r="J6" t="n">
        <v>869000</v>
      </c>
    </row>
    <row r="7" ht="18" customHeight="1">
      <c r="A7" s="9" t="inlineStr">
        <is>
          <t>Net cash (£)</t>
        </is>
      </c>
      <c r="B7" s="10" t="n">
        <v>220000</v>
      </c>
      <c r="C7" s="10" t="n">
        <v>183000</v>
      </c>
      <c r="D7" s="10" t="n">
        <v>-470000</v>
      </c>
      <c r="E7" s="10" t="n">
        <v>220000</v>
      </c>
      <c r="F7" s="10" t="n">
        <v>-17000</v>
      </c>
      <c r="G7" s="10" t="n">
        <v>-570000</v>
      </c>
      <c r="H7" s="10" t="n">
        <v>220000</v>
      </c>
      <c r="I7" s="10" t="n">
        <v>283000</v>
      </c>
      <c r="J7" t="n">
        <v>-220000</v>
      </c>
    </row>
    <row r="8" ht="18" customHeight="1">
      <c r="A8" s="11" t="inlineStr">
        <is>
          <t>Cumulative cash (£)</t>
        </is>
      </c>
      <c r="B8" s="12" t="n">
        <v>220000</v>
      </c>
      <c r="C8" s="12" t="n">
        <v>403000</v>
      </c>
      <c r="D8" s="12" t="n">
        <v>-67000</v>
      </c>
      <c r="E8" s="12" t="n">
        <v>220000</v>
      </c>
      <c r="F8" s="12" t="n">
        <v>203000</v>
      </c>
      <c r="G8" s="12" t="n">
        <v>-367000</v>
      </c>
      <c r="H8" s="12" t="n">
        <v>220000</v>
      </c>
      <c r="I8" s="12" t="n">
        <v>503000</v>
      </c>
      <c r="J8" t="n">
        <v>283000</v>
      </c>
    </row>
    <row r="9" ht="18" customHeight="1">
      <c r="A9" s="9" t="inlineStr">
        <is>
          <t>B2B2C seats</t>
        </is>
      </c>
      <c r="B9" s="19" t="n">
        <v>0</v>
      </c>
      <c r="C9" s="19" t="n">
        <v>1500</v>
      </c>
      <c r="D9" s="19" t="n">
        <v>9000</v>
      </c>
      <c r="E9" s="19" t="n">
        <v>0</v>
      </c>
      <c r="F9" s="19" t="n">
        <v>0</v>
      </c>
      <c r="G9" s="19" t="n">
        <v>9000</v>
      </c>
      <c r="H9" s="19" t="n">
        <v>0</v>
      </c>
      <c r="I9" s="19" t="n">
        <v>3000</v>
      </c>
      <c r="J9" t="n">
        <v>15000</v>
      </c>
    </row>
    <row r="10" ht="18" customHeight="1">
      <c r="A10" s="11" t="inlineStr">
        <is>
          <t>B2B2C revenue (£)</t>
        </is>
      </c>
      <c r="B10" s="12" t="n">
        <v>0</v>
      </c>
      <c r="C10" s="12" t="n">
        <v>54000</v>
      </c>
      <c r="D10" s="12" t="n">
        <v>324000</v>
      </c>
      <c r="E10" s="12" t="n">
        <v>0</v>
      </c>
      <c r="F10" s="12" t="n">
        <v>0</v>
      </c>
      <c r="G10" s="12" t="n">
        <v>324000</v>
      </c>
      <c r="H10" s="12" t="n">
        <v>0</v>
      </c>
      <c r="I10" s="12" t="n">
        <v>108000</v>
      </c>
      <c r="J10" t="n">
        <v>540000</v>
      </c>
    </row>
    <row r="12" ht="22" customHeight="1">
      <c r="A12" s="15" t="inlineStr">
        <is>
          <t>Scenario notes</t>
        </is>
      </c>
    </row>
    <row r="13" ht="36" customHeight="1">
      <c r="A13" s="20" t="inlineStr">
        <is>
          <t>BASE</t>
        </is>
      </c>
      <c r="B13" s="3" t="inlineStr">
        <is>
          <t>First B2B2C partnership Y2 (~1,500 seats). Grants + seed cover Y1–Y2. Y3 dip = team scale-up ahead of partnership-revenue ramp.</t>
        </is>
      </c>
    </row>
    <row r="14" ht="36" customHeight="1">
      <c r="A14" s="21" t="inlineStr">
        <is>
          <t>CONSERVATIVE</t>
        </is>
      </c>
      <c r="B14" s="5" t="inlineStr">
        <is>
          <t>Partnership slips to Y3 (Y2 B2B2C revenue = £0). Y2 supporter donations −50%. Wider funding gap; larger seed or slower hiring needed.</t>
        </is>
      </c>
    </row>
    <row r="15" ht="36" customHeight="1">
      <c r="A15" s="20" t="inlineStr">
        <is>
          <t>STRETCH</t>
        </is>
      </c>
      <c r="B15" s="3" t="inlineStr">
        <is>
          <t>2 ICB/employer pilots in Y2 (~3,000 seats). Y3 ramps to ~15,000 seats + supporter donations ×2. Near-break-even in Y3.</t>
        </is>
      </c>
    </row>
    <row r="17" ht="22" customHeight="1">
      <c r="A17" s="15" t="inlineStr">
        <is>
          <t>Unit economics — why the free model works at scale</t>
        </is>
      </c>
    </row>
    <row r="18" ht="24" customHeight="1">
      <c r="A18" s="3" t="inlineStr">
        <is>
          <t>Marginal cost — one more carer</t>
        </is>
      </c>
      <c r="B18" s="22" t="inlineStr">
        <is>
          <t>≈ £0</t>
        </is>
      </c>
      <c r="C18" s="3" t="inlineStr">
        <is>
          <t>On-device inference: no cloud API call, no per-user compute cost after download</t>
        </is>
      </c>
    </row>
    <row r="19" ht="24" customHeight="1">
      <c r="A19" s="5" t="inlineStr">
        <is>
          <t>Fixed cost base  (team + compliance)</t>
        </is>
      </c>
      <c r="B19" s="23" t="inlineStr">
        <is>
          <t>£382k Y1</t>
        </is>
      </c>
      <c r="C19" s="5" t="inlineStr">
        <is>
          <t>All users share this overhead — scale doesn't multiply it</t>
        </is>
      </c>
      <c r="D19" s="24" t="n"/>
      <c r="E19" s="24" t="n"/>
      <c r="F19" s="24" t="n"/>
      <c r="G19" s="24" t="n"/>
      <c r="H19" s="24" t="n"/>
      <c r="I19" s="24" t="n"/>
    </row>
    <row r="20" ht="24" customHeight="1">
      <c r="A20" s="3" t="inlineStr">
        <is>
          <t>Partnership seat contribution</t>
        </is>
      </c>
      <c r="B20" s="22" t="inlineStr">
        <is>
          <t>≈ £3/mo per seat</t>
        </is>
      </c>
      <c r="C20" s="3" t="inlineStr">
        <is>
          <t>Near-pure contribution to sustainability at near-zero marginal cost</t>
        </is>
      </c>
    </row>
    <row r="21" ht="24" customHeight="1">
      <c r="A21" s="5" t="inlineStr">
        <is>
          <t>Model thesis</t>
        </is>
      </c>
      <c r="B21" s="23" t="inlineStr">
        <is>
          <t>Cover fixed base →</t>
        </is>
      </c>
      <c r="C21" s="5" t="inlineStr">
        <is>
          <t>then every partnership seat sold is almost wholly additive sustainability margin</t>
        </is>
      </c>
      <c r="D21" s="24" t="n"/>
      <c r="E21" s="24" t="n"/>
      <c r="F21" s="24" t="n"/>
      <c r="G21" s="24" t="n"/>
      <c r="H21" s="24" t="n"/>
      <c r="I21" s="24" t="n"/>
    </row>
  </sheetData>
  <mergeCells count="13">
    <mergeCell ref="B13:I13"/>
    <mergeCell ref="B3:D3"/>
    <mergeCell ref="C18:I18"/>
    <mergeCell ref="B15:I15"/>
    <mergeCell ref="C21:I21"/>
    <mergeCell ref="A1:I1"/>
    <mergeCell ref="A17:I17"/>
    <mergeCell ref="C20:I20"/>
    <mergeCell ref="B14:I14"/>
    <mergeCell ref="E3:G3"/>
    <mergeCell ref="H3:J3"/>
    <mergeCell ref="A12:I12"/>
    <mergeCell ref="C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2026-07-03T19:25:09Z</dcterms:created>
  <dcterms:modified xmlns:dcterms="http://purl.org/dc/terms/" xmlns:xsi="http://www.w3.org/2001/XMLSchema-instance" xsi:type="dcterms:W3CDTF">2026-07-03T19:25:09Z</dcterms:modified>
</cp:coreProperties>
</file>